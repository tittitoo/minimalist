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14"/>
  <workbookPr filterPrivacy="1" autoCompressPictures="0"/>
  <xr:revisionPtr revIDLastSave="0" documentId="8_{255AE9AD-0037-534F-98ED-383EB16BA4BD}" xr6:coauthVersionLast="47" xr6:coauthVersionMax="47" xr10:uidLastSave="{00000000-0000-0000-0000-000000000000}"/>
  <bookViews>
    <workbookView xWindow="0" yWindow="500" windowWidth="30720" windowHeight="18700" xr2:uid="{00000000-000D-0000-FFFF-FFFF00000000}"/>
  </bookViews>
  <sheets>
    <sheet name="Project Planner" sheetId="1" r:id="rId1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8" i="1" l="1"/>
  <c r="F8" i="1" s="1"/>
  <c r="D19" i="1"/>
  <c r="F19" i="1" s="1"/>
  <c r="D12" i="1"/>
  <c r="F22" i="1"/>
  <c r="F6" i="1"/>
  <c r="F7" i="1"/>
  <c r="F9" i="1"/>
  <c r="F10" i="1"/>
  <c r="F11" i="1"/>
  <c r="F13" i="1"/>
  <c r="F14" i="1"/>
  <c r="F15" i="1"/>
  <c r="F16" i="1"/>
  <c r="F17" i="1"/>
  <c r="F18" i="1"/>
  <c r="F20" i="1"/>
  <c r="F21" i="1"/>
  <c r="F5" i="1"/>
  <c r="E7" i="1"/>
  <c r="E6" i="1"/>
  <c r="E5" i="1"/>
  <c r="C10" i="1"/>
  <c r="C11" i="1" s="1"/>
  <c r="C6" i="1"/>
  <c r="C7" i="1" s="1"/>
  <c r="C8" i="1" s="1"/>
  <c r="C9" i="1" s="1"/>
  <c r="E9" i="1" s="1"/>
  <c r="E10" i="1" l="1"/>
  <c r="E8" i="1"/>
  <c r="C12" i="1"/>
  <c r="E11" i="1"/>
  <c r="F12" i="1"/>
  <c r="E12" i="1" l="1"/>
  <c r="C16" i="1"/>
  <c r="C13" i="1"/>
  <c r="C15" i="1" l="1"/>
  <c r="E15" i="1" s="1"/>
  <c r="E13" i="1"/>
  <c r="C14" i="1"/>
  <c r="E14" i="1" s="1"/>
  <c r="C17" i="1"/>
  <c r="E16" i="1"/>
  <c r="C18" i="1" l="1"/>
  <c r="E17" i="1"/>
  <c r="C19" i="1" l="1"/>
  <c r="E18" i="1"/>
  <c r="C20" i="1" l="1"/>
  <c r="E19" i="1"/>
  <c r="E20" i="1" l="1"/>
  <c r="C21" i="1"/>
  <c r="E21" i="1" s="1"/>
  <c r="C22" i="1"/>
  <c r="E2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tc={8CCBB2C9-5F82-4287-86D3-D4D903C420B0}</author>
    <author>tc={B19ED3F6-8071-4773-BB1D-EA2012C1CCE3}</author>
    <author>tc={1CA17AC4-6DDB-4CBD-8055-F6018B76F698}</author>
    <author>tc={BA37FEE2-D484-4DFE-989B-867ADA54C11A}</author>
  </authors>
  <commentList>
    <comment ref="B14" authorId="0" shapeId="0" xr:uid="{8CCBB2C9-5F82-4287-86D3-D4D903C420B0}">
      <text>
        <t>[Threaded comment]
Your version of Excel allows you to read this threaded comment; however, any edits to it will get removed if the file is opened in a newer version of Excel. Learn more: https://go.microsoft.com/fwlink/?linkid=870924
Comment:
    Approximate shipping duration from USA takes about 5 to7 weeks</t>
      </text>
    </comment>
    <comment ref="B15" authorId="1" shapeId="0" xr:uid="{B19ED3F6-8071-4773-BB1D-EA2012C1CCE3}">
      <text>
        <t>[Threaded comment]
Your version of Excel allows you to read this threaded comment; however, any edits to it will get removed if the file is opened in a newer version of Excel. Learn more: https://go.microsoft.com/fwlink/?linkid=870924
Comment:
    Approximate shipping duration from EUR/Asia is 4 weeks</t>
      </text>
    </comment>
    <comment ref="B16" authorId="2" shapeId="0" xr:uid="{1CA17AC4-6DDB-4CBD-8055-F6018B76F698}">
      <text>
        <t>[Threaded comment]
Your version of Excel allows you to read this threaded comment; however, any edits to it will get removed if the file is opened in a newer version of Excel. Learn more: https://go.microsoft.com/fwlink/?linkid=870924
Comment:
    1. Equipment Rack - 20 working days or 4 weeks
2. GMDSS Console assembly will take about 5-6 weeks</t>
      </text>
    </comment>
    <comment ref="B18" authorId="3" shapeId="0" xr:uid="{BA37FEE2-D484-4DFE-989B-867ADA54C11A}">
      <text>
        <t>[Threaded comment]
Your version of Excel allows you to read this threaded comment; however, any edits to it will get removed if the file is opened in a newer version of Excel. Learn more: https://go.microsoft.com/fwlink/?linkid=870924
Comment:
    Cater 1 week for Punch Clearance</t>
      </text>
    </comment>
  </commentList>
</comments>
</file>

<file path=xl/sharedStrings.xml><?xml version="1.0" encoding="utf-8"?>
<sst xmlns="http://schemas.openxmlformats.org/spreadsheetml/2006/main" count="37" uniqueCount="37">
  <si>
    <t>Project Planner</t>
  </si>
  <si>
    <t>PERIODS</t>
  </si>
  <si>
    <t>ACTIVITY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</si>
  <si>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</si>
  <si>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</si>
  <si>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</si>
  <si>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</si>
  <si>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</si>
  <si>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</si>
  <si>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</si>
  <si>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</si>
  <si>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</si>
  <si>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</si>
  <si>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</si>
  <si>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</si>
  <si>
    <t>PO Award</t>
  </si>
  <si>
    <t>Engineering Design</t>
  </si>
  <si>
    <t>Purchasing/Logistics</t>
  </si>
  <si>
    <t>Delivery</t>
  </si>
  <si>
    <t>Project Kick-off (Internal)</t>
  </si>
  <si>
    <t>Project Kick-off (External)</t>
  </si>
  <si>
    <t>Punch-List Clearance</t>
  </si>
  <si>
    <t>- Document Issued for Approval</t>
  </si>
  <si>
    <t>- Document Issued for Construction</t>
  </si>
  <si>
    <t>- Design Freeze</t>
  </si>
  <si>
    <t>- Equipment Leadtime</t>
  </si>
  <si>
    <t>In-House Assembly/Integration</t>
  </si>
  <si>
    <t>- Delivery (Asia/EUR/Brazil)</t>
  </si>
  <si>
    <t>- Delivery (Local Yard)</t>
  </si>
  <si>
    <t>Pre-FAT/FAT</t>
  </si>
  <si>
    <t>- Preparation of Document/Packing/Picking</t>
  </si>
  <si>
    <t>- Shipping (EUR/Asia) - Sea Freight</t>
  </si>
  <si>
    <t>- Shipping (USA) - Sea Freight</t>
  </si>
  <si>
    <t>Notes:</t>
  </si>
  <si>
    <t>2. Adjust the Plan Duration (yellow highlighted cell) as necessary.</t>
  </si>
  <si>
    <t>3. For Shipping and Delivery, you may delete the row or hide and put zero (0) on the Plan Duration whichever is not applicable.</t>
  </si>
  <si>
    <t>1. Duration is in weeks.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</si>
</sst>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sz val="13"/>
      <color theme="1" tint="0.24994659260841701"/>
      <name val="Calibri"/>
      <family val="2"/>
    </font>
    <font>
      <b/>
      <i/>
      <sz val="14"/>
      <color theme="1" tint="0.24994659260841701"/>
      <name val="Calibri"/>
      <family val="2"/>
      <scheme val="minor"/>
    </font>
    <font>
      <i/>
      <sz val="14"/>
      <color theme="1" tint="0.2499465926084170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19">
    <xf numFmtId="0" fontId="0" fillId="0" borderId="0" applyNumberFormat="0" applyFill="0" applyBorder="0" applyProtection="0">
      <alignment horizontal="center" vertical="center"/>
    </xf>
    <xf numFmtId="0" fontId="8" fillId="0" borderId="0" applyNumberFormat="0" applyFill="0" applyBorder="0" applyAlignment="0" applyProtection="0"/>
    <xf numFmtId="0" fontId="2" fillId="0" borderId="0" applyFill="0" applyBorder="0" applyProtection="0">
      <alignment horizontal="left" wrapText="1"/>
    </xf>
    <xf numFmtId="3" fontId="10" fillId="0" borderId="2" applyFill="0" applyProtection="0">
      <alignment horizontal="center"/>
    </xf>
    <xf numFmtId="0" fontId="10" fillId="0" borderId="0" applyFill="0" applyBorder="0" applyProtection="0">
      <alignment horizontal="center" wrapText="1"/>
    </xf>
    <xf numFmtId="0" fontId="1" fillId="0" borderId="0" applyNumberFormat="0" applyFill="0" applyBorder="0" applyProtection="0">
      <alignment horizontal="left" vertical="center"/>
    </xf>
    <xf numFmtId="9" fontId="3" fillId="0" borderId="0" applyFill="0" applyBorder="0" applyProtection="0">
      <alignment horizontal="center" vertical="center"/>
    </xf>
    <xf numFmtId="0" fontId="9" fillId="6" borderId="1" applyNumberFormat="0" applyProtection="0">
      <alignment horizontal="left" vertical="center"/>
    </xf>
    <xf numFmtId="0" fontId="8" fillId="0" borderId="0" applyNumberFormat="0" applyFill="0" applyBorder="0" applyProtection="0">
      <alignment vertical="center"/>
    </xf>
    <xf numFmtId="0" fontId="10" fillId="0" borderId="0" applyFill="0" applyProtection="0">
      <alignment vertical="center"/>
    </xf>
    <xf numFmtId="0" fontId="10" fillId="0" borderId="0" applyFill="0" applyProtection="0">
      <alignment horizontal="center" vertical="center" wrapText="1"/>
    </xf>
    <xf numFmtId="0" fontId="10" fillId="0" borderId="0" applyFill="0" applyProtection="0">
      <alignment horizontal="left"/>
    </xf>
    <xf numFmtId="0" fontId="12" fillId="0" borderId="0" applyNumberFormat="0" applyFill="0" applyBorder="0" applyProtection="0">
      <alignment vertical="center"/>
    </xf>
    <xf numFmtId="1" fontId="13" fillId="6" borderId="1">
      <alignment horizontal="center" vertical="center"/>
    </xf>
    <xf numFmtId="0" fontId="11" fillId="2" borderId="4" applyNumberFormat="0" applyFont="0" applyAlignment="0">
      <alignment horizontal="center"/>
    </xf>
    <xf numFmtId="0" fontId="11" fillId="3" borderId="3" applyNumberFormat="0" applyFont="0" applyAlignment="0">
      <alignment horizontal="center"/>
    </xf>
    <xf numFmtId="0" fontId="11" fillId="4" borderId="3" applyNumberFormat="0" applyFont="0" applyAlignment="0">
      <alignment horizontal="center"/>
    </xf>
    <xf numFmtId="0" fontId="11" fillId="5" borderId="3" applyNumberFormat="0" applyFont="0" applyAlignment="0">
      <alignment horizontal="center"/>
    </xf>
    <xf numFmtId="0" fontId="11" fillId="7" borderId="3" applyNumberFormat="0" applyFont="0" applyAlignment="0">
      <alignment horizontal="center"/>
    </xf>
  </cellStyleXfs>
  <cellXfs count="39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2" fillId="0" borderId="0" xfId="2">
      <alignment horizontal="left" wrapText="1"/>
    </xf>
    <xf numFmtId="3" fontId="10" fillId="0" borderId="2" xfId="3">
      <alignment horizontal="center"/>
    </xf>
    <xf numFmtId="9" fontId="3" fillId="0" borderId="0" xfId="6">
      <alignment horizontal="center" vertical="center"/>
    </xf>
    <xf numFmtId="0" fontId="9" fillId="6" borderId="1" xfId="7">
      <alignment horizontal="left" vertical="center"/>
    </xf>
    <xf numFmtId="0" fontId="4" fillId="0" borderId="0" xfId="2" applyFont="1">
      <alignment horizontal="left" wrapText="1"/>
    </xf>
    <xf numFmtId="0" fontId="5" fillId="0" borderId="0" xfId="0" applyFont="1" applyAlignment="1">
      <alignment horizontal="center"/>
    </xf>
    <xf numFmtId="9" fontId="6" fillId="0" borderId="0" xfId="6" applyFont="1">
      <alignment horizontal="center" vertical="center"/>
    </xf>
    <xf numFmtId="0" fontId="10" fillId="0" borderId="0" xfId="4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0" fontId="8" fillId="0" borderId="0" xfId="1" applyAlignment="1">
      <alignment horizontal="center"/>
    </xf>
    <xf numFmtId="0" fontId="8" fillId="0" borderId="0" xfId="8">
      <alignment vertical="center"/>
    </xf>
    <xf numFmtId="1" fontId="13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0" fontId="10" fillId="0" borderId="0" xfId="11">
      <alignment horizontal="left"/>
    </xf>
    <xf numFmtId="0" fontId="12" fillId="0" borderId="0" xfId="12">
      <alignment vertical="center"/>
    </xf>
    <xf numFmtId="0" fontId="14" fillId="0" borderId="0" xfId="2" quotePrefix="1" applyFont="1" applyAlignment="1">
      <alignment horizontal="left" wrapText="1" indent="1"/>
    </xf>
    <xf numFmtId="0" fontId="5" fillId="8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15" fillId="0" borderId="0" xfId="2" applyFont="1">
      <alignment horizontal="left" wrapText="1"/>
    </xf>
    <xf numFmtId="0" fontId="16" fillId="0" borderId="0" xfId="2" applyFont="1" applyAlignment="1">
      <alignment horizontal="left"/>
    </xf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10" fillId="0" borderId="0" xfId="9">
      <alignment vertical="center"/>
    </xf>
    <xf numFmtId="0" fontId="10" fillId="0" borderId="2" xfId="9" applyBorder="1">
      <alignment vertical="center"/>
    </xf>
    <xf numFmtId="0" fontId="10" fillId="0" borderId="0" xfId="10">
      <alignment horizontal="center" vertical="center" wrapText="1"/>
    </xf>
    <xf numFmtId="0" fontId="10" fillId="0" borderId="2" xfId="10" applyBorder="1">
      <alignment horizontal="center" vertical="center" wrapText="1"/>
    </xf>
    <xf numFmtId="0" fontId="10" fillId="0" borderId="5" xfId="10" applyBorder="1">
      <alignment horizontal="center" vertical="center" wrapText="1"/>
    </xf>
    <xf numFmtId="0" fontId="7" fillId="0" borderId="6" xfId="5" applyFont="1" applyBorder="1">
      <alignment horizontal="left" vertical="center"/>
    </xf>
    <xf numFmtId="0" fontId="7" fillId="0" borderId="0" xfId="5" applyFont="1">
      <alignment horizontal="left" vertical="center"/>
    </xf>
    <xf numFmtId="0" fontId="7" fillId="0" borderId="7" xfId="5" applyFont="1" applyBorder="1">
      <alignment horizontal="left" vertical="center"/>
    </xf>
    <xf numFmtId="0" fontId="7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</cellXfs>
  <cellStyles count="19">
    <cellStyle name="% complete" xfId="16" xr:uid="{00000000-0005-0000-0000-000000000000}"/>
    <cellStyle name="% complete (beyond plan) legend" xfId="18" xr:uid="{00000000-0005-0000-0000-000001000000}"/>
    <cellStyle name="Activity" xfId="2" xr:uid="{00000000-0005-0000-0000-000002000000}"/>
    <cellStyle name="Actual (beyond plan) legend" xfId="17" xr:uid="{00000000-0005-0000-0000-000003000000}"/>
    <cellStyle name="Actual legend" xfId="15" xr:uid="{00000000-0005-0000-0000-000004000000}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 xr:uid="{00000000-0005-0000-0000-00000A000000}"/>
    <cellStyle name="Normal" xfId="0" builtinId="0" customBuiltin="1"/>
    <cellStyle name="Percent Complete" xfId="6" xr:uid="{00000000-0005-0000-0000-00000C000000}"/>
    <cellStyle name="Period Headers" xfId="3" xr:uid="{00000000-0005-0000-0000-00000D000000}"/>
    <cellStyle name="Period Highlight Control" xfId="7" xr:uid="{00000000-0005-0000-0000-00000E000000}"/>
    <cellStyle name="Period Value" xfId="13" xr:uid="{00000000-0005-0000-0000-00000F000000}"/>
    <cellStyle name="Plan legend" xfId="14" xr:uid="{00000000-0005-0000-0000-000010000000}"/>
    <cellStyle name="Project Headers" xfId="4" xr:uid="{00000000-0005-0000-0000-000011000000}"/>
    <cellStyle name="Title" xfId="8" builtinId="15" customBuiltin="1"/>
  </cellStyles>
  <dxfs count="10"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4" dT="2023-11-23T02:20:43.38" personId="{00000000-0000-0000-0000-000000000000}" id="{8CCBB2C9-5F82-4287-86D3-D4D903C420B0}">
    <text>Approximate shipping duration from USA takes about 5 to7 weeks</text>
  </threadedComment>
  <threadedComment ref="B15" dT="2023-11-23T02:22:09.05" personId="{00000000-0000-0000-0000-000000000000}" id="{B19ED3F6-8071-4773-BB1D-EA2012C1CCE3}">
    <text>Approximate shipping duration from EUR/Asia is 4 weeks</text>
  </threadedComment>
  <threadedComment ref="B16" dT="2023-11-23T02:31:27.90" personId="{00000000-0000-0000-0000-000000000000}" id="{1CA17AC4-6DDB-4CBD-8055-F6018B76F698}">
    <text>1. Equipment Rack - 20 working days or 4 weeks
2. GMDSS Console assembly will take about 5-6 weeks</text>
  </threadedComment>
  <threadedComment ref="B18" dT="2023-11-23T02:30:06.06" personId="{00000000-0000-0000-0000-000000000000}" id="{BA37FEE2-D484-4DFE-989B-867ADA54C11A}">
    <text>Cater 1 week for Punch Clearance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7"/>
    <pageSetUpPr fitToPage="1"/>
  </sheetPr>
  <dimension ref="B1:BO27"/>
  <sheetViews>
    <sheetView showGridLines="0" tabSelected="1" zoomScaleNormal="70" zoomScaleSheetLayoutView="80" workbookViewId="0">
      <selection activeCell="BJ29" sqref="BJ29"/>
    </sheetView>
  </sheetViews>
  <sheetFormatPr baseColWidth="10" defaultColWidth="2.83203125" defaultRowHeight="30" customHeight="1" x14ac:dyDescent="0.25"/>
  <cols>
    <col min="1" max="1" width="2.6640625" customWidth="1"/>
    <col min="2" max="2" width="42.33203125" style="2" customWidth="1"/>
    <col min="3" max="4" width="11.6640625" style="1" customWidth="1"/>
    <col min="5" max="6" width="11.6640625" style="1" hidden="1" customWidth="1"/>
    <col min="7" max="7" width="15.6640625" style="4" hidden="1" customWidth="1"/>
    <col min="8" max="27" width="2.83203125" style="1"/>
  </cols>
  <sheetData>
    <row r="1" spans="2:67" ht="60" customHeight="1" thickBot="1" x14ac:dyDescent="0.85">
      <c r="B1" s="13" t="s">
        <v>0</v>
      </c>
      <c r="C1" s="12"/>
      <c r="D1" s="12"/>
      <c r="E1" s="12"/>
      <c r="F1" s="12"/>
      <c r="G1" s="12"/>
    </row>
    <row r="2" spans="2:67" ht="21" customHeight="1" thickTop="1" thickBot="1" x14ac:dyDescent="0.25">
      <c r="B2" s="21" t="s">
        <v>14</v>
      </c>
      <c r="C2" s="21"/>
      <c r="D2" s="21"/>
      <c r="E2" s="21"/>
      <c r="F2" s="21"/>
      <c r="G2" s="5" t="s">
        <v>6</v>
      </c>
      <c r="H2" s="14">
        <v>1</v>
      </c>
      <c r="J2" s="15"/>
      <c r="K2" s="34" t="s">
        <v>13</v>
      </c>
      <c r="L2" s="35"/>
      <c r="M2" s="35"/>
      <c r="N2" s="35"/>
      <c r="O2" s="36"/>
      <c r="P2" s="16"/>
      <c r="Q2" s="34" t="s">
        <v>12</v>
      </c>
      <c r="R2" s="37"/>
      <c r="S2" s="37"/>
      <c r="T2" s="36"/>
      <c r="U2" s="17"/>
      <c r="V2" s="27" t="s">
        <v>3</v>
      </c>
      <c r="W2" s="28"/>
      <c r="X2" s="28"/>
      <c r="Y2" s="38"/>
      <c r="Z2" s="18"/>
      <c r="AA2" s="27" t="s">
        <v>4</v>
      </c>
      <c r="AB2" s="28"/>
      <c r="AC2" s="28"/>
      <c r="AD2" s="28"/>
      <c r="AE2" s="28"/>
      <c r="AF2" s="28"/>
      <c r="AG2" s="38"/>
      <c r="AH2" s="19"/>
      <c r="AI2" s="27" t="s">
        <v>5</v>
      </c>
      <c r="AJ2" s="28"/>
      <c r="AK2" s="28"/>
      <c r="AL2" s="28"/>
      <c r="AM2" s="28"/>
      <c r="AN2" s="28"/>
      <c r="AO2" s="28"/>
      <c r="AP2" s="28"/>
    </row>
    <row r="3" spans="2:67" s="11" customFormat="1" ht="40" customHeight="1" thickTop="1" x14ac:dyDescent="0.2">
      <c r="B3" s="29" t="s">
        <v>2</v>
      </c>
      <c r="C3" s="31" t="s">
        <v>7</v>
      </c>
      <c r="D3" s="31" t="s">
        <v>8</v>
      </c>
      <c r="E3" s="31" t="s">
        <v>9</v>
      </c>
      <c r="F3" s="31" t="s">
        <v>10</v>
      </c>
      <c r="G3" s="33" t="s">
        <v>11</v>
      </c>
      <c r="H3" s="20" t="s">
        <v>1</v>
      </c>
      <c r="I3" s="9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</row>
    <row r="4" spans="2:67" ht="15.75" customHeight="1" x14ac:dyDescent="0.2">
      <c r="B4" s="30"/>
      <c r="C4" s="32"/>
      <c r="D4" s="32"/>
      <c r="E4" s="32"/>
      <c r="F4" s="32"/>
      <c r="G4" s="32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>
        <v>42</v>
      </c>
      <c r="AX4" s="3">
        <v>43</v>
      </c>
      <c r="AY4" s="3">
        <v>44</v>
      </c>
      <c r="AZ4" s="3">
        <v>45</v>
      </c>
      <c r="BA4" s="3">
        <v>46</v>
      </c>
      <c r="BB4" s="3">
        <v>47</v>
      </c>
      <c r="BC4" s="3">
        <v>48</v>
      </c>
      <c r="BD4" s="3">
        <v>49</v>
      </c>
      <c r="BE4" s="3">
        <v>50</v>
      </c>
      <c r="BF4" s="3">
        <v>51</v>
      </c>
      <c r="BG4" s="3">
        <v>52</v>
      </c>
      <c r="BH4" s="3">
        <v>53</v>
      </c>
      <c r="BI4" s="3">
        <v>54</v>
      </c>
      <c r="BJ4" s="3">
        <v>55</v>
      </c>
      <c r="BK4" s="3">
        <v>56</v>
      </c>
      <c r="BL4" s="3">
        <v>57</v>
      </c>
      <c r="BM4" s="3">
        <v>58</v>
      </c>
      <c r="BN4" s="3">
        <v>59</v>
      </c>
      <c r="BO4" s="3">
        <v>60</v>
      </c>
    </row>
    <row r="5" spans="2:67" ht="30" customHeight="1" x14ac:dyDescent="0.2">
      <c r="B5" s="6" t="s">
        <v>15</v>
      </c>
      <c r="C5" s="7">
        <v>1</v>
      </c>
      <c r="D5" s="23">
        <v>0</v>
      </c>
      <c r="E5" s="7">
        <f>C5</f>
        <v>1</v>
      </c>
      <c r="F5" s="7">
        <f>D5</f>
        <v>0</v>
      </c>
      <c r="G5" s="8">
        <v>1</v>
      </c>
    </row>
    <row r="6" spans="2:67" ht="30" customHeight="1" x14ac:dyDescent="0.2">
      <c r="B6" s="6" t="s">
        <v>19</v>
      </c>
      <c r="C6" s="7">
        <f>C5+1</f>
        <v>2</v>
      </c>
      <c r="D6" s="23">
        <v>1</v>
      </c>
      <c r="E6" s="7">
        <f>C6</f>
        <v>2</v>
      </c>
      <c r="F6" s="7">
        <f t="shared" ref="F6:F21" si="0">D6</f>
        <v>1</v>
      </c>
      <c r="G6" s="8">
        <v>1</v>
      </c>
    </row>
    <row r="7" spans="2:67" ht="30" customHeight="1" x14ac:dyDescent="0.2">
      <c r="B7" s="6" t="s">
        <v>20</v>
      </c>
      <c r="C7" s="7">
        <f>C6+D6</f>
        <v>3</v>
      </c>
      <c r="D7" s="23">
        <v>1</v>
      </c>
      <c r="E7" s="7">
        <f>C7</f>
        <v>3</v>
      </c>
      <c r="F7" s="7">
        <f t="shared" si="0"/>
        <v>1</v>
      </c>
      <c r="G7" s="8">
        <v>1</v>
      </c>
    </row>
    <row r="8" spans="2:67" ht="30" customHeight="1" x14ac:dyDescent="0.2">
      <c r="B8" s="6" t="s">
        <v>16</v>
      </c>
      <c r="C8" s="7">
        <f>C7+D7</f>
        <v>4</v>
      </c>
      <c r="D8" s="24">
        <f>SUM(D9:D11)</f>
        <v>7</v>
      </c>
      <c r="E8" s="7">
        <f t="shared" ref="E8:E21" si="1">C8</f>
        <v>4</v>
      </c>
      <c r="F8" s="7">
        <f t="shared" si="0"/>
        <v>7</v>
      </c>
      <c r="G8" s="8">
        <v>1</v>
      </c>
    </row>
    <row r="9" spans="2:67" ht="30" customHeight="1" x14ac:dyDescent="0.2">
      <c r="B9" s="22" t="s">
        <v>22</v>
      </c>
      <c r="C9" s="7">
        <f>C8</f>
        <v>4</v>
      </c>
      <c r="D9" s="23">
        <v>4</v>
      </c>
      <c r="E9" s="7">
        <f t="shared" si="1"/>
        <v>4</v>
      </c>
      <c r="F9" s="7">
        <f t="shared" si="0"/>
        <v>4</v>
      </c>
      <c r="G9" s="8">
        <v>1</v>
      </c>
    </row>
    <row r="10" spans="2:67" ht="30" customHeight="1" x14ac:dyDescent="0.2">
      <c r="B10" s="22" t="s">
        <v>23</v>
      </c>
      <c r="C10" s="7">
        <f>C9+D9</f>
        <v>8</v>
      </c>
      <c r="D10" s="23">
        <v>2</v>
      </c>
      <c r="E10" s="7">
        <f t="shared" si="1"/>
        <v>8</v>
      </c>
      <c r="F10" s="7">
        <f t="shared" si="0"/>
        <v>2</v>
      </c>
      <c r="G10" s="8">
        <v>1</v>
      </c>
    </row>
    <row r="11" spans="2:67" ht="30" customHeight="1" x14ac:dyDescent="0.2">
      <c r="B11" s="22" t="s">
        <v>24</v>
      </c>
      <c r="C11" s="7">
        <f>C10+D10</f>
        <v>10</v>
      </c>
      <c r="D11" s="23">
        <v>1</v>
      </c>
      <c r="E11" s="7">
        <f t="shared" si="1"/>
        <v>10</v>
      </c>
      <c r="F11" s="7">
        <f t="shared" si="0"/>
        <v>1</v>
      </c>
      <c r="G11" s="8">
        <v>1</v>
      </c>
    </row>
    <row r="12" spans="2:67" ht="30" customHeight="1" x14ac:dyDescent="0.2">
      <c r="B12" s="6" t="s">
        <v>17</v>
      </c>
      <c r="C12" s="7">
        <f>C11</f>
        <v>10</v>
      </c>
      <c r="D12" s="24">
        <f>SUM(D13:D15)</f>
        <v>22</v>
      </c>
      <c r="E12" s="7">
        <f t="shared" si="1"/>
        <v>10</v>
      </c>
      <c r="F12" s="7">
        <f t="shared" si="0"/>
        <v>22</v>
      </c>
      <c r="G12" s="8">
        <v>1</v>
      </c>
    </row>
    <row r="13" spans="2:67" ht="30" customHeight="1" x14ac:dyDescent="0.2">
      <c r="B13" s="22" t="s">
        <v>25</v>
      </c>
      <c r="C13" s="7">
        <f>C12</f>
        <v>10</v>
      </c>
      <c r="D13" s="23">
        <v>16</v>
      </c>
      <c r="E13" s="7">
        <f t="shared" si="1"/>
        <v>10</v>
      </c>
      <c r="F13" s="7">
        <f t="shared" si="0"/>
        <v>16</v>
      </c>
      <c r="G13" s="8">
        <v>1</v>
      </c>
    </row>
    <row r="14" spans="2:67" ht="30" customHeight="1" x14ac:dyDescent="0.2">
      <c r="B14" s="22" t="s">
        <v>32</v>
      </c>
      <c r="C14" s="7">
        <f>C13+D13</f>
        <v>26</v>
      </c>
      <c r="D14" s="23">
        <v>6</v>
      </c>
      <c r="E14" s="7">
        <f t="shared" si="1"/>
        <v>26</v>
      </c>
      <c r="F14" s="7">
        <f t="shared" si="0"/>
        <v>6</v>
      </c>
      <c r="G14" s="8">
        <v>1</v>
      </c>
    </row>
    <row r="15" spans="2:67" ht="30" customHeight="1" x14ac:dyDescent="0.2">
      <c r="B15" s="22" t="s">
        <v>31</v>
      </c>
      <c r="C15" s="7">
        <f>C13+D13</f>
        <v>26</v>
      </c>
      <c r="D15" s="23">
        <v>0</v>
      </c>
      <c r="E15" s="7">
        <f t="shared" si="1"/>
        <v>26</v>
      </c>
      <c r="F15" s="7">
        <f t="shared" si="0"/>
        <v>0</v>
      </c>
      <c r="G15" s="8">
        <v>1</v>
      </c>
    </row>
    <row r="16" spans="2:67" ht="30" customHeight="1" x14ac:dyDescent="0.2">
      <c r="B16" s="6" t="s">
        <v>26</v>
      </c>
      <c r="C16" s="7">
        <f>C12+D12</f>
        <v>32</v>
      </c>
      <c r="D16" s="23">
        <v>4</v>
      </c>
      <c r="E16" s="7">
        <f t="shared" si="1"/>
        <v>32</v>
      </c>
      <c r="F16" s="7">
        <f t="shared" si="0"/>
        <v>4</v>
      </c>
      <c r="G16" s="8">
        <v>1</v>
      </c>
    </row>
    <row r="17" spans="2:7" ht="30" customHeight="1" x14ac:dyDescent="0.2">
      <c r="B17" s="6" t="s">
        <v>29</v>
      </c>
      <c r="C17" s="7">
        <f>C16+D16</f>
        <v>36</v>
      </c>
      <c r="D17" s="23">
        <v>1</v>
      </c>
      <c r="E17" s="7">
        <f t="shared" si="1"/>
        <v>36</v>
      </c>
      <c r="F17" s="7">
        <f t="shared" si="0"/>
        <v>1</v>
      </c>
      <c r="G17" s="8">
        <v>1</v>
      </c>
    </row>
    <row r="18" spans="2:7" ht="30" customHeight="1" x14ac:dyDescent="0.2">
      <c r="B18" s="6" t="s">
        <v>21</v>
      </c>
      <c r="C18" s="7">
        <f>C17+D17</f>
        <v>37</v>
      </c>
      <c r="D18" s="23">
        <v>1</v>
      </c>
      <c r="E18" s="7">
        <f t="shared" si="1"/>
        <v>37</v>
      </c>
      <c r="F18" s="7">
        <f t="shared" si="0"/>
        <v>1</v>
      </c>
      <c r="G18" s="8">
        <v>1</v>
      </c>
    </row>
    <row r="19" spans="2:7" ht="30" customHeight="1" x14ac:dyDescent="0.2">
      <c r="B19" s="6" t="s">
        <v>18</v>
      </c>
      <c r="C19" s="7">
        <f>C18+D18</f>
        <v>38</v>
      </c>
      <c r="D19" s="24">
        <f>SUM(D20:D22)</f>
        <v>5</v>
      </c>
      <c r="E19" s="7">
        <f t="shared" si="1"/>
        <v>38</v>
      </c>
      <c r="F19" s="7">
        <f t="shared" si="0"/>
        <v>5</v>
      </c>
      <c r="G19" s="8">
        <v>1</v>
      </c>
    </row>
    <row r="20" spans="2:7" ht="30" customHeight="1" x14ac:dyDescent="0.2">
      <c r="B20" s="22" t="s">
        <v>30</v>
      </c>
      <c r="C20" s="7">
        <f>C19</f>
        <v>38</v>
      </c>
      <c r="D20" s="23">
        <v>1</v>
      </c>
      <c r="E20" s="7">
        <f t="shared" si="1"/>
        <v>38</v>
      </c>
      <c r="F20" s="7">
        <f t="shared" si="0"/>
        <v>1</v>
      </c>
      <c r="G20" s="8">
        <v>1</v>
      </c>
    </row>
    <row r="21" spans="2:7" ht="30" customHeight="1" x14ac:dyDescent="0.2">
      <c r="B21" s="22" t="s">
        <v>27</v>
      </c>
      <c r="C21" s="7">
        <f>C20+D20</f>
        <v>39</v>
      </c>
      <c r="D21" s="23">
        <v>4</v>
      </c>
      <c r="E21" s="7">
        <f t="shared" si="1"/>
        <v>39</v>
      </c>
      <c r="F21" s="7">
        <f t="shared" si="0"/>
        <v>4</v>
      </c>
      <c r="G21" s="8">
        <v>1</v>
      </c>
    </row>
    <row r="22" spans="2:7" ht="30" customHeight="1" x14ac:dyDescent="0.2">
      <c r="B22" s="22" t="s">
        <v>28</v>
      </c>
      <c r="C22" s="7">
        <f>C20+D20</f>
        <v>39</v>
      </c>
      <c r="D22" s="23">
        <v>0</v>
      </c>
      <c r="E22" s="7">
        <f>C22</f>
        <v>39</v>
      </c>
      <c r="F22" s="7">
        <f>D22</f>
        <v>0</v>
      </c>
      <c r="G22" s="8">
        <v>1</v>
      </c>
    </row>
    <row r="24" spans="2:7" ht="30" customHeight="1" x14ac:dyDescent="0.25">
      <c r="B24" s="25" t="s">
        <v>33</v>
      </c>
    </row>
    <row r="25" spans="2:7" ht="30" customHeight="1" x14ac:dyDescent="0.25">
      <c r="B25" s="26" t="s">
        <v>36</v>
      </c>
    </row>
    <row r="26" spans="2:7" ht="30" customHeight="1" x14ac:dyDescent="0.25">
      <c r="B26" s="26" t="s">
        <v>34</v>
      </c>
    </row>
    <row r="27" spans="2:7" ht="30" customHeight="1" x14ac:dyDescent="0.25">
      <c r="B27" s="26" t="s">
        <v>35</v>
      </c>
    </row>
  </sheetData>
  <mergeCells count="11">
    <mergeCell ref="AI2:AP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B23:BO23">
    <cfRule type="expression" dxfId="9" priority="2">
      <formula>TRUE</formula>
    </cfRule>
  </conditionalFormatting>
  <conditionalFormatting sqref="H4:BO4">
    <cfRule type="expression" dxfId="8" priority="8">
      <formula>H$4=period_selected</formula>
    </cfRule>
  </conditionalFormatting>
  <conditionalFormatting sqref="H5:BO22">
    <cfRule type="expression" dxfId="7" priority="3">
      <formula>PercentCompleteBeyond</formula>
    </cfRule>
    <cfRule type="expression" dxfId="6" priority="4">
      <formula>Actual</formula>
    </cfRule>
    <cfRule type="expression" dxfId="5" priority="5">
      <formula>ActualBeyond</formula>
    </cfRule>
    <cfRule type="expression" dxfId="4" priority="6">
      <formula>Plan</formula>
    </cfRule>
    <cfRule type="expression" dxfId="3" priority="7">
      <formula>H$4=period_selected</formula>
    </cfRule>
    <cfRule type="expression" dxfId="2" priority="1">
      <formula>PercentComplete</formula>
    </cfRule>
    <cfRule type="expression" dxfId="1" priority="11">
      <formula>MOD(COLUMN(),2)</formula>
    </cfRule>
    <cfRule type="expression" dxfId="0" priority="12">
      <formula>MOD(COLUMN(),2)=0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 xr:uid="{00000000-0002-0000-0000-000000000000}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 xr:uid="{00000000-0002-0000-0000-000001000000}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 xr:uid="{00000000-0002-0000-0000-000002000000}"/>
    <dataValidation allowBlank="1" showInputMessage="1" showErrorMessage="1" prompt="This legend cell indicates actual duration" sqref="P2" xr:uid="{00000000-0002-0000-0000-000003000000}"/>
    <dataValidation allowBlank="1" showInputMessage="1" showErrorMessage="1" prompt="This legend cell indicates the percentage of project completed" sqref="U2" xr:uid="{00000000-0002-0000-0000-000004000000}"/>
    <dataValidation allowBlank="1" showInputMessage="1" showErrorMessage="1" prompt="This legend cell indicates actual duration beyond plan" sqref="Z2" xr:uid="{00000000-0002-0000-0000-000005000000}"/>
    <dataValidation allowBlank="1" showInputMessage="1" showErrorMessage="1" prompt="This legend cell indicates the percentage of project completed beyond plan" sqref="AH2" xr:uid="{00000000-0002-0000-0000-000006000000}"/>
    <dataValidation allowBlank="1" showInputMessage="1" showErrorMessage="1" prompt="Periods are charted from 1 to 60 starting from cell H4 to cell BO4 " sqref="H3" xr:uid="{00000000-0002-0000-0000-000007000000}"/>
    <dataValidation allowBlank="1" showInputMessage="1" showErrorMessage="1" prompt="Enter activity in column B, starting with cell B5_x000a_" sqref="B3:B4" xr:uid="{00000000-0002-0000-0000-000008000000}"/>
    <dataValidation allowBlank="1" showInputMessage="1" showErrorMessage="1" prompt="Enter plan start period in column C, starting with cell C5" sqref="C3:C4" xr:uid="{00000000-0002-0000-0000-000009000000}"/>
    <dataValidation allowBlank="1" showInputMessage="1" showErrorMessage="1" prompt="Enter plan duration period in column D, starting with cell D5" sqref="D3:D4" xr:uid="{00000000-0002-0000-0000-00000A000000}"/>
    <dataValidation allowBlank="1" showInputMessage="1" showErrorMessage="1" prompt="Enter actual start period in column E, starting with cell E5" sqref="E3:E4" xr:uid="{00000000-0002-0000-0000-00000B000000}"/>
    <dataValidation allowBlank="1" showInputMessage="1" showErrorMessage="1" prompt="Enter actual duration period in column F, starting with cell F5" sqref="F3:F4" xr:uid="{00000000-0002-0000-0000-00000C000000}"/>
    <dataValidation allowBlank="1" showInputMessage="1" showErrorMessage="1" prompt="Enter the percentage of project completed in column G, starting with cell G5" sqref="G3:G4" xr:uid="{00000000-0002-0000-0000-00000D000000}"/>
    <dataValidation allowBlank="1" showInputMessage="1" showErrorMessage="1" prompt="Title of the project. Enter a new title in this cell. Highlight a period in H2. Chart legend is in J2 to AI2" sqref="B1" xr:uid="{00000000-0002-0000-0000-00000E000000}"/>
    <dataValidation allowBlank="1" showInputMessage="1" showErrorMessage="1" prompt="Select a period to highlight in H2. A Chart legend is in J2 to AI2" sqref="B2:F2" xr:uid="{00000000-0002-0000-0000-00000F000000}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  <legacyDrawing r:id="rId2"/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8DFCFC3C8E7AA42829101F1B9FDE726" ma:contentTypeVersion="17" ma:contentTypeDescription="Create a new document." ma:contentTypeScope="" ma:versionID="1be510a276c79858cf783fee576dcad3">
  <xsd:schema xmlns:xsd="http://www.w3.org/2001/XMLSchema" xmlns:xs="http://www.w3.org/2001/XMLSchema" xmlns:p="http://schemas.microsoft.com/office/2006/metadata/properties" xmlns:ns2="a4ab0a8a-df34-475a-ae76-62bcee5314d7" xmlns:ns3="76680ebd-6583-4887-bd34-3a5374e82719" targetNamespace="http://schemas.microsoft.com/office/2006/metadata/properties" ma:root="true" ma:fieldsID="d64fb815e141627dc88e8ea76dd3f51f" ns2:_="" ns3:_="">
    <xsd:import namespace="a4ab0a8a-df34-475a-ae76-62bcee5314d7"/>
    <xsd:import namespace="76680ebd-6583-4887-bd34-3a5374e8271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lcf76f155ced4ddcb4097134ff3c332f" minOccurs="0"/>
                <xsd:element ref="ns2:TaxCatchAll" minOccurs="0"/>
                <xsd:element ref="ns3:MediaServiceLocation" minOccurs="0"/>
                <xsd:element ref="ns3:MediaLengthInSecond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ab0a8a-df34-475a-ae76-62bcee5314d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ae32a8b6-2e7a-420c-b4f6-811db9e1ef50}" ma:internalName="TaxCatchAll" ma:showField="CatchAllData" ma:web="a4ab0a8a-df34-475a-ae76-62bcee5314d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80ebd-6583-4887-bd34-3a5374e827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aef184ba-378b-424e-91aa-0167be990bb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21C0A84-AB90-40B4-9513-1689D5BE8E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ab0a8a-df34-475a-ae76-62bcee5314d7"/>
    <ds:schemaRef ds:uri="76680ebd-6583-4887-bd34-3a5374e827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51B08FE-5881-4A74-9778-0079A816FF7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TM02887601</Templat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Project Planner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2021-12-27T22:07:09Z</dcterms:created>
  <dcterms:modified xsi:type="dcterms:W3CDTF">2024-01-18T07:42:22Z</dcterms:modified>
</cp:coreProperties>
</file>